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imum — 1 skrzynka" sheetId="1" state="visible" r:id="rId1"/>
    <sheet name="Później — ta sama R1" sheetId="2" state="visible" r:id="rId2"/>
    <sheet name="Docelowo R1+R2" sheetId="3" state="visible" r:id="rId3"/>
    <sheet name="Mapa obwodów" sheetId="4" state="visible" r:id="rId4"/>
  </sheets>
  <definedNames>
    <definedName name="_xlnm._FilterDatabase" localSheetId="0" hidden="1">'Minimum — 1 skrzynka'!$A$1:$K$1</definedName>
    <definedName name="_xlnm._FilterDatabase" localSheetId="1" hidden="1">'Później — ta sama R1'!$A$1:$K$1</definedName>
    <definedName name="_xlnm._FilterDatabase" localSheetId="2" hidden="1">'Docelowo R1+R2'!$A$1:$K$1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0" fillId="4" borderId="0" pivotButton="0" quotePrefix="0" xfId="0"/>
    <xf numFmtId="0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0" fontId="0" fillId="5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34" customWidth="1" min="4" max="4"/>
    <col width="52" customWidth="1" min="5" max="5"/>
    <col width="8" customWidth="1" min="6" max="6"/>
    <col width="8" customWidth="1" min="7" max="7"/>
    <col width="14" customWidth="1" min="8" max="8"/>
    <col width="14" customWidth="1" min="9" max="9"/>
    <col width="14" customWidth="1" min="10" max="10"/>
    <col width="40" customWidth="1" min="11" max="11"/>
  </cols>
  <sheetData>
    <row r="1" ht="32" customHeight="1">
      <c r="A1" s="1" t="inlineStr">
        <is>
          <t>Etap</t>
        </is>
      </c>
      <c r="B1" s="1" t="inlineStr">
        <is>
          <t>Skrzynka</t>
        </is>
      </c>
      <c r="C1" s="1" t="inlineStr">
        <is>
          <t>ID</t>
        </is>
      </c>
      <c r="D1" s="1" t="inlineStr">
        <is>
          <t>Pozycja</t>
        </is>
      </c>
      <c r="E1" s="1" t="inlineStr">
        <is>
          <t>Opis / parametry</t>
        </is>
      </c>
      <c r="F1" s="1" t="inlineStr">
        <is>
          <t>Ilość</t>
        </is>
      </c>
      <c r="G1" s="1" t="inlineStr">
        <is>
          <t>Jedn.</t>
        </is>
      </c>
      <c r="H1" s="1" t="inlineStr">
        <is>
          <t>Szac. cena jedn. (PLN)</t>
        </is>
      </c>
      <c r="I1" s="1" t="inlineStr">
        <is>
          <t>Szac. suma (PLN)</t>
        </is>
      </c>
      <c r="J1" s="1" t="inlineStr">
        <is>
          <t>Priorytet</t>
        </is>
      </c>
      <c r="K1" s="1" t="inlineStr">
        <is>
          <t>Uwagi zakupowe</t>
        </is>
      </c>
    </row>
    <row r="2">
      <c r="A2" s="2" t="inlineStr">
        <is>
          <t>min</t>
        </is>
      </c>
      <c r="B2" s="2" t="inlineStr">
        <is>
          <t>R1</t>
        </is>
      </c>
      <c r="C2" s="2" t="inlineStr">
        <is>
          <t>OB-R1</t>
        </is>
      </c>
      <c r="D2" s="2" t="inlineStr">
        <is>
          <t>Obudowa rozdzielnicy zewnętrzna</t>
        </is>
      </c>
      <c r="E2" s="2" t="inlineStr">
        <is>
          <t>IP65, ~18–24 modułów DIN (zapas pod pompy/gniazda później)</t>
        </is>
      </c>
      <c r="F2" s="2" t="n">
        <v>1</v>
      </c>
      <c r="G2" s="2" t="inlineStr">
        <is>
          <t>szt.</t>
        </is>
      </c>
      <c r="H2" s="2" t="n"/>
      <c r="I2" s="3">
        <f>IF(OR(F2="",H2=""),"",F2*H2)</f>
        <v/>
      </c>
      <c r="J2" s="2" t="inlineStr">
        <is>
          <t>jedna skrzynka przy dopływie z domu</t>
        </is>
      </c>
      <c r="K2" s="4" t="n"/>
    </row>
    <row r="3">
      <c r="A3" s="2" t="inlineStr">
        <is>
          <t>min</t>
        </is>
      </c>
      <c r="B3" s="2" t="inlineStr">
        <is>
          <t>R1</t>
        </is>
      </c>
      <c r="C3" s="2" t="inlineStr">
        <is>
          <t>Q0</t>
        </is>
      </c>
      <c r="D3" s="2" t="inlineStr">
        <is>
          <t>Rozłącznik główny izolacyjny</t>
        </is>
      </c>
      <c r="E3" s="2" t="inlineStr">
        <is>
          <t>2P / 2 moduły DIN, In ≥ 40 A; nie 3P/4P</t>
        </is>
      </c>
      <c r="F3" s="2" t="n">
        <v>1</v>
      </c>
      <c r="G3" s="2" t="inlineStr">
        <is>
          <t>szt.</t>
        </is>
      </c>
      <c r="H3" s="2" t="n"/>
      <c r="I3" s="3">
        <f>IF(OR(F3="",H3=""),"",F3*H3)</f>
        <v/>
      </c>
      <c r="J3" s="2" t="inlineStr">
        <is>
          <t>L+N; PE na szynie PE</t>
        </is>
      </c>
      <c r="K3" s="4" t="n"/>
    </row>
    <row r="4">
      <c r="A4" s="2" t="inlineStr">
        <is>
          <t>min</t>
        </is>
      </c>
      <c r="B4" s="2" t="inlineStr">
        <is>
          <t>R1</t>
        </is>
      </c>
      <c r="C4" s="2" t="inlineStr">
        <is>
          <t>F-CZ</t>
        </is>
      </c>
      <c r="D4" s="2" t="inlineStr">
        <is>
          <t>RCBO (różnicówka + nadprąd)</t>
        </is>
      </c>
      <c r="E4" s="2" t="inlineStr">
        <is>
          <t>1P+N (2P), 6–10 A (albo 16 A), 30 mA, typ A, B lub C</t>
        </is>
      </c>
      <c r="F4" s="2" t="n">
        <v>1</v>
      </c>
      <c r="G4" s="2" t="inlineStr">
        <is>
          <t>szt.</t>
        </is>
      </c>
      <c r="H4" s="2" t="n"/>
      <c r="I4" s="3">
        <f>IF(OR(F4="",H4=""),"",F4*H4)</f>
        <v/>
      </c>
      <c r="J4" s="2" t="inlineStr">
        <is>
          <t>nie zwykła różnicówka; nie 3P/4P</t>
        </is>
      </c>
      <c r="K4" s="4" t="n"/>
    </row>
    <row r="5">
      <c r="A5" s="2" t="inlineStr">
        <is>
          <t>min</t>
        </is>
      </c>
      <c r="B5" s="2" t="inlineStr">
        <is>
          <t>R1</t>
        </is>
      </c>
      <c r="C5" s="2" t="inlineStr">
        <is>
          <t>SZYNY</t>
        </is>
      </c>
      <c r="D5" s="2" t="inlineStr">
        <is>
          <t>Szyny / zaciski / oznaczniki</t>
        </is>
      </c>
      <c r="E5" s="2" t="inlineStr">
        <is>
          <t>szyna L, N, PE; zaciski; etykiety</t>
        </is>
      </c>
      <c r="F5" s="2" t="n">
        <v>1</v>
      </c>
      <c r="G5" s="2" t="inlineStr">
        <is>
          <t>kpl.</t>
        </is>
      </c>
      <c r="H5" s="2" t="n"/>
      <c r="I5" s="3">
        <f>IF(OR(F5="",H5=""),"",F5*H5)</f>
        <v/>
      </c>
      <c r="J5" s="2" t="inlineStr">
        <is>
          <t>często w zestawie z obudową — sprawdź</t>
        </is>
      </c>
      <c r="K5" s="4" t="n"/>
    </row>
    <row r="6">
      <c r="A6" s="2" t="inlineStr">
        <is>
          <t>min</t>
        </is>
      </c>
      <c r="B6" s="2" t="inlineStr">
        <is>
          <t>R1</t>
        </is>
      </c>
      <c r="C6" s="2" t="inlineStr">
        <is>
          <t>DŁAW</t>
        </is>
      </c>
      <c r="D6" s="2" t="inlineStr">
        <is>
          <t>Dławiki / przepusty IP</t>
        </is>
      </c>
      <c r="E6" s="2" t="inlineStr">
        <is>
          <t>pod dopływ 3×2,5 oraz odpływ 2×1,5 (+ 1–2 zapas)</t>
        </is>
      </c>
      <c r="F6" s="2" t="n">
        <v>4</v>
      </c>
      <c r="G6" s="2" t="inlineStr">
        <is>
          <t>szt.</t>
        </is>
      </c>
      <c r="H6" s="2" t="n"/>
      <c r="I6" s="3">
        <f>IF(OR(F6="",H6=""),"",F6*H6)</f>
        <v/>
      </c>
      <c r="J6" s="2" t="inlineStr"/>
      <c r="K6" s="4" t="n"/>
    </row>
    <row r="7">
      <c r="A7" s="2" t="inlineStr">
        <is>
          <t>min</t>
        </is>
      </c>
      <c r="B7" s="2" t="inlineStr">
        <is>
          <t>—</t>
        </is>
      </c>
      <c r="C7" s="2" t="inlineStr">
        <is>
          <t>K-CZ</t>
        </is>
      </c>
      <c r="D7" s="2" t="inlineStr">
        <is>
          <t>Kabel do czujnika</t>
        </is>
      </c>
      <c r="E7" s="2" t="inlineStr">
        <is>
          <t>2×1,5 mm² ziemny/zewnętrzny (np. YKY / równoważny)</t>
        </is>
      </c>
      <c r="F7" s="2" t="n">
        <v>15</v>
      </c>
      <c r="G7" s="2" t="inlineStr">
        <is>
          <t>m</t>
        </is>
      </c>
      <c r="H7" s="2" t="n"/>
      <c r="I7" s="3">
        <f>IF(OR(F7="",H7=""),"",F7*H7)</f>
        <v/>
      </c>
      <c r="J7" s="2" t="inlineStr">
        <is>
          <t>trasa ~13 m (dom→szambo) + zapas; L N</t>
        </is>
      </c>
      <c r="K7" s="4" t="n"/>
    </row>
    <row r="8">
      <c r="A8" s="2" t="inlineStr">
        <is>
          <t>min</t>
        </is>
      </c>
      <c r="B8" s="2" t="inlineStr">
        <is>
          <t>R1</t>
        </is>
      </c>
      <c r="C8" s="2" t="inlineStr">
        <is>
          <t>OSPRZ</t>
        </is>
      </c>
      <c r="D8" s="2" t="inlineStr">
        <is>
          <t>Osprzęt montażowy</t>
        </is>
      </c>
      <c r="E8" s="2" t="inlineStr">
        <is>
          <t>końcówki, uchwyty, opaski, śruby</t>
        </is>
      </c>
      <c r="F8" s="2" t="n">
        <v>1</v>
      </c>
      <c r="G8" s="2" t="inlineStr">
        <is>
          <t>kpl.</t>
        </is>
      </c>
      <c r="H8" s="2" t="n"/>
      <c r="I8" s="3">
        <f>IF(OR(F8="",H8=""),"",F8*H8)</f>
        <v/>
      </c>
      <c r="J8" s="2" t="inlineStr"/>
      <c r="K8" s="4" t="n"/>
    </row>
    <row r="10">
      <c r="A10" s="5" t="inlineStr">
        <is>
          <t>Uwagi</t>
        </is>
      </c>
    </row>
    <row r="11" ht="70" customHeight="1">
      <c r="A11" s="6" t="inlineStr">
        <is>
          <t>ABSOLUTNE MINIMUM do zasilenia czujnika.
Bez drugiej skrzynki, bez kabla 3×4, bez smartów/pomp/gniazd.
RCBO: szukaj „RCBO 1P+N 30mA typ A” (nie zwykła różnicówka 40A, nie 4P).
Montaż 230 V: elektryk / odbiór wg przepisów. Czujnik HLK/ESP = osobny BOM mains.</t>
        </is>
      </c>
    </row>
  </sheetData>
  <autoFilter ref="A1:K1"/>
  <mergeCells count="1">
    <mergeCell ref="A11:K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34" customWidth="1" min="4" max="4"/>
    <col width="52" customWidth="1" min="5" max="5"/>
    <col width="8" customWidth="1" min="6" max="6"/>
    <col width="8" customWidth="1" min="7" max="7"/>
    <col width="14" customWidth="1" min="8" max="8"/>
    <col width="14" customWidth="1" min="9" max="9"/>
    <col width="14" customWidth="1" min="10" max="10"/>
    <col width="40" customWidth="1" min="11" max="11"/>
  </cols>
  <sheetData>
    <row r="1" ht="32" customHeight="1">
      <c r="A1" s="1" t="inlineStr">
        <is>
          <t>Etap</t>
        </is>
      </c>
      <c r="B1" s="1" t="inlineStr">
        <is>
          <t>Skrzynka</t>
        </is>
      </c>
      <c r="C1" s="1" t="inlineStr">
        <is>
          <t>ID</t>
        </is>
      </c>
      <c r="D1" s="1" t="inlineStr">
        <is>
          <t>Pozycja</t>
        </is>
      </c>
      <c r="E1" s="1" t="inlineStr">
        <is>
          <t>Opis / parametry</t>
        </is>
      </c>
      <c r="F1" s="1" t="inlineStr">
        <is>
          <t>Ilość</t>
        </is>
      </c>
      <c r="G1" s="1" t="inlineStr">
        <is>
          <t>Jedn.</t>
        </is>
      </c>
      <c r="H1" s="1" t="inlineStr">
        <is>
          <t>Szac. cena jedn. (PLN)</t>
        </is>
      </c>
      <c r="I1" s="1" t="inlineStr">
        <is>
          <t>Szac. suma (PLN)</t>
        </is>
      </c>
      <c r="J1" s="1" t="inlineStr">
        <is>
          <t>Priorytet</t>
        </is>
      </c>
      <c r="K1" s="1" t="inlineStr">
        <is>
          <t>Uwagi zakupowe</t>
        </is>
      </c>
    </row>
    <row r="2">
      <c r="A2" s="7" t="inlineStr">
        <is>
          <t>później</t>
        </is>
      </c>
      <c r="B2" s="7" t="inlineStr">
        <is>
          <t>R1</t>
        </is>
      </c>
      <c r="C2" s="7" t="inlineStr">
        <is>
          <t>F-P1</t>
        </is>
      </c>
      <c r="D2" s="7" t="inlineStr">
        <is>
          <t>RCBO pompy</t>
        </is>
      </c>
      <c r="E2" s="7" t="inlineStr">
        <is>
          <t>1P+N, 30 mA typ A, In wg pompy (typowo 16 A)</t>
        </is>
      </c>
      <c r="F2" s="7" t="n">
        <v>1</v>
      </c>
      <c r="G2" s="7" t="inlineStr">
        <is>
          <t>szt.</t>
        </is>
      </c>
      <c r="H2" s="7" t="n"/>
      <c r="I2" s="8">
        <f>IF(OR(F2="",H2=""),"",F2*H2)</f>
        <v/>
      </c>
      <c r="J2" s="7" t="inlineStr"/>
      <c r="K2" s="9" t="n"/>
    </row>
    <row r="3">
      <c r="A3" s="7" t="inlineStr">
        <is>
          <t>później</t>
        </is>
      </c>
      <c r="B3" s="7" t="inlineStr">
        <is>
          <t>R1</t>
        </is>
      </c>
      <c r="C3" s="7" t="inlineStr">
        <is>
          <t>S-P1</t>
        </is>
      </c>
      <c r="D3" s="7" t="inlineStr">
        <is>
          <t>Smart switch DIN</t>
        </is>
      </c>
      <c r="E3" s="7" t="inlineStr">
        <is>
          <t>za RCBO; HA</t>
        </is>
      </c>
      <c r="F3" s="7" t="n">
        <v>1</v>
      </c>
      <c r="G3" s="7" t="inlineStr">
        <is>
          <t>szt.</t>
        </is>
      </c>
      <c r="H3" s="7" t="n"/>
      <c r="I3" s="8">
        <f>IF(OR(F3="",H3=""),"",F3*H3)</f>
        <v/>
      </c>
      <c r="J3" s="7" t="inlineStr">
        <is>
          <t>model otwarty</t>
        </is>
      </c>
      <c r="K3" s="9" t="n"/>
    </row>
    <row r="4">
      <c r="A4" s="7" t="inlineStr">
        <is>
          <t>później</t>
        </is>
      </c>
      <c r="B4" s="7" t="inlineStr">
        <is>
          <t>R1</t>
        </is>
      </c>
      <c r="C4" s="7" t="inlineStr">
        <is>
          <t>F-G1</t>
        </is>
      </c>
      <c r="D4" s="7" t="inlineStr">
        <is>
          <t>RCBO gniazda</t>
        </is>
      </c>
      <c r="E4" s="7" t="inlineStr">
        <is>
          <t>1P+N, 30 mA typ A, In 16 A</t>
        </is>
      </c>
      <c r="F4" s="7" t="n">
        <v>1</v>
      </c>
      <c r="G4" s="7" t="inlineStr">
        <is>
          <t>szt.</t>
        </is>
      </c>
      <c r="H4" s="7" t="n"/>
      <c r="I4" s="8">
        <f>IF(OR(F4="",H4=""),"",F4*H4)</f>
        <v/>
      </c>
      <c r="J4" s="7" t="inlineStr"/>
      <c r="K4" s="9" t="n"/>
    </row>
    <row r="5">
      <c r="A5" s="7" t="inlineStr">
        <is>
          <t>później</t>
        </is>
      </c>
      <c r="B5" s="7" t="inlineStr">
        <is>
          <t>R1</t>
        </is>
      </c>
      <c r="C5" s="7" t="inlineStr">
        <is>
          <t>S-G1</t>
        </is>
      </c>
      <c r="D5" s="7" t="inlineStr">
        <is>
          <t>Smart switch DIN</t>
        </is>
      </c>
      <c r="E5" s="7" t="inlineStr">
        <is>
          <t>za RCBO; HA</t>
        </is>
      </c>
      <c r="F5" s="7" t="n">
        <v>1</v>
      </c>
      <c r="G5" s="7" t="inlineStr">
        <is>
          <t>szt.</t>
        </is>
      </c>
      <c r="H5" s="7" t="n"/>
      <c r="I5" s="8">
        <f>IF(OR(F5="",H5=""),"",F5*H5)</f>
        <v/>
      </c>
      <c r="J5" s="7" t="inlineStr"/>
      <c r="K5" s="9" t="n"/>
    </row>
    <row r="6">
      <c r="A6" s="7" t="inlineStr">
        <is>
          <t>później</t>
        </is>
      </c>
      <c r="B6" s="7" t="inlineStr">
        <is>
          <t>R1</t>
        </is>
      </c>
      <c r="C6" s="7" t="inlineStr">
        <is>
          <t>G1</t>
        </is>
      </c>
      <c r="D6" s="7" t="inlineStr">
        <is>
          <t>Gniazdo ogrodowe</t>
        </is>
      </c>
      <c r="E6" s="7" t="inlineStr">
        <is>
          <t>IP44+</t>
        </is>
      </c>
      <c r="F6" s="7" t="n">
        <v>1</v>
      </c>
      <c r="G6" s="7" t="inlineStr">
        <is>
          <t>szt.</t>
        </is>
      </c>
      <c r="H6" s="7" t="n"/>
      <c r="I6" s="8">
        <f>IF(OR(F6="",H6=""),"",F6*H6)</f>
        <v/>
      </c>
      <c r="J6" s="7" t="inlineStr"/>
      <c r="K6" s="9" t="n"/>
    </row>
    <row r="7">
      <c r="A7" s="7" t="inlineStr">
        <is>
          <t>później</t>
        </is>
      </c>
      <c r="B7" s="7" t="inlineStr">
        <is>
          <t>—</t>
        </is>
      </c>
      <c r="C7" s="7" t="inlineStr">
        <is>
          <t>K-P</t>
        </is>
      </c>
      <c r="D7" s="7" t="inlineStr">
        <is>
          <t>Kabel pompy / gniazda</t>
        </is>
      </c>
      <c r="E7" s="7" t="inlineStr">
        <is>
          <t>3×1,5 lub 3×2,5</t>
        </is>
      </c>
      <c r="F7" s="7" t="n">
        <v>1</v>
      </c>
      <c r="G7" s="7" t="inlineStr">
        <is>
          <t>mb</t>
        </is>
      </c>
      <c r="H7" s="7" t="n"/>
      <c r="I7" s="8">
        <f>IF(OR(F7="",H7=""),"",F7*H7)</f>
        <v/>
      </c>
      <c r="J7" s="7" t="inlineStr">
        <is>
          <t>wg trasy</t>
        </is>
      </c>
      <c r="K7" s="9" t="n"/>
    </row>
    <row r="8">
      <c r="A8" s="10" t="inlineStr">
        <is>
          <t>opc.</t>
        </is>
      </c>
      <c r="B8" s="10" t="inlineStr">
        <is>
          <t>—</t>
        </is>
      </c>
      <c r="C8" s="10" t="inlineStr">
        <is>
          <t>R2</t>
        </is>
      </c>
      <c r="D8" s="10" t="inlineStr">
        <is>
          <t>Druga skrzynka R2 + kabel 3×4</t>
        </is>
      </c>
      <c r="E8" s="10" t="inlineStr">
        <is>
          <t>gdy potrzebna podstacja przy szambie</t>
        </is>
      </c>
      <c r="F8" s="10" t="n">
        <v>1</v>
      </c>
      <c r="G8" s="10" t="inlineStr">
        <is>
          <t>kpl.</t>
        </is>
      </c>
      <c r="H8" s="10" t="n"/>
      <c r="I8" s="11">
        <f>IF(OR(F8="",H8=""),"",F8*H8)</f>
        <v/>
      </c>
      <c r="J8" s="10" t="inlineStr">
        <is>
          <t>patrz arkusz Docelowo</t>
        </is>
      </c>
      <c r="K8" s="12" t="n"/>
    </row>
    <row r="9">
      <c r="A9" s="10" t="inlineStr">
        <is>
          <t>opc.</t>
        </is>
      </c>
      <c r="B9" s="10" t="inlineStr">
        <is>
          <t>R1</t>
        </is>
      </c>
      <c r="C9" s="10" t="inlineStr">
        <is>
          <t>SPD</t>
        </is>
      </c>
      <c r="D9" s="10" t="inlineStr">
        <is>
          <t>Ogranicznik przepięć Typ 2</t>
        </is>
      </c>
      <c r="E9" s="10" t="inlineStr">
        <is>
          <t>opcjonalnie</t>
        </is>
      </c>
      <c r="F9" s="10" t="n">
        <v>1</v>
      </c>
      <c r="G9" s="10" t="inlineStr">
        <is>
          <t>szt.</t>
        </is>
      </c>
      <c r="H9" s="10" t="n"/>
      <c r="I9" s="11">
        <f>IF(OR(F9="",H9=""),"",F9*H9)</f>
        <v/>
      </c>
      <c r="J9" s="10" t="inlineStr"/>
      <c r="K9" s="12" t="n"/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34" customWidth="1" min="4" max="4"/>
    <col width="52" customWidth="1" min="5" max="5"/>
    <col width="8" customWidth="1" min="6" max="6"/>
    <col width="8" customWidth="1" min="7" max="7"/>
    <col width="14" customWidth="1" min="8" max="8"/>
    <col width="14" customWidth="1" min="9" max="9"/>
    <col width="14" customWidth="1" min="10" max="10"/>
    <col width="40" customWidth="1" min="11" max="11"/>
  </cols>
  <sheetData>
    <row r="1" ht="32" customHeight="1">
      <c r="A1" s="1" t="inlineStr">
        <is>
          <t>Etap</t>
        </is>
      </c>
      <c r="B1" s="1" t="inlineStr">
        <is>
          <t>Skrzynka</t>
        </is>
      </c>
      <c r="C1" s="1" t="inlineStr">
        <is>
          <t>ID</t>
        </is>
      </c>
      <c r="D1" s="1" t="inlineStr">
        <is>
          <t>Pozycja</t>
        </is>
      </c>
      <c r="E1" s="1" t="inlineStr">
        <is>
          <t>Opis / parametry</t>
        </is>
      </c>
      <c r="F1" s="1" t="inlineStr">
        <is>
          <t>Ilość</t>
        </is>
      </c>
      <c r="G1" s="1" t="inlineStr">
        <is>
          <t>Jedn.</t>
        </is>
      </c>
      <c r="H1" s="1" t="inlineStr">
        <is>
          <t>Szac. cena jedn. (PLN)</t>
        </is>
      </c>
      <c r="I1" s="1" t="inlineStr">
        <is>
          <t>Szac. suma (PLN)</t>
        </is>
      </c>
      <c r="J1" s="1" t="inlineStr">
        <is>
          <t>Priorytet</t>
        </is>
      </c>
      <c r="K1" s="1" t="inlineStr">
        <is>
          <t>Uwagi zakupowe</t>
        </is>
      </c>
    </row>
    <row r="2">
      <c r="A2" s="10" t="inlineStr">
        <is>
          <t>docel.</t>
        </is>
      </c>
      <c r="B2" s="10" t="inlineStr">
        <is>
          <t>R2</t>
        </is>
      </c>
      <c r="C2" s="10" t="inlineStr">
        <is>
          <t>OB-R2</t>
        </is>
      </c>
      <c r="D2" s="10" t="inlineStr">
        <is>
          <t>Obudowa R2</t>
        </is>
      </c>
      <c r="E2" s="10" t="inlineStr">
        <is>
          <t>IP65, ~24–36 mod.</t>
        </is>
      </c>
      <c r="F2" s="10" t="n">
        <v>1</v>
      </c>
      <c r="G2" s="10" t="inlineStr">
        <is>
          <t>szt.</t>
        </is>
      </c>
      <c r="H2" s="10" t="n"/>
      <c r="I2" s="11">
        <f>IF(OR(F2="",H2=""),"",F2*H2)</f>
        <v/>
      </c>
      <c r="J2" s="10" t="inlineStr"/>
      <c r="K2" s="12" t="n"/>
    </row>
    <row r="3">
      <c r="A3" s="10" t="inlineStr">
        <is>
          <t>docel.</t>
        </is>
      </c>
      <c r="B3" s="10" t="inlineStr">
        <is>
          <t>R1</t>
        </is>
      </c>
      <c r="C3" s="10" t="inlineStr">
        <is>
          <t>F-R2</t>
        </is>
      </c>
      <c r="D3" s="10" t="inlineStr">
        <is>
          <t>RCBO odpływu do R2</t>
        </is>
      </c>
      <c r="E3" s="10" t="inlineStr">
        <is>
          <t>1P+N, 16–20 A, 30 mA typ A</t>
        </is>
      </c>
      <c r="F3" s="10" t="n">
        <v>1</v>
      </c>
      <c r="G3" s="10" t="inlineStr">
        <is>
          <t>szt.</t>
        </is>
      </c>
      <c r="H3" s="10" t="n"/>
      <c r="I3" s="11">
        <f>IF(OR(F3="",H3=""),"",F3*H3)</f>
        <v/>
      </c>
      <c r="J3" s="10" t="inlineStr"/>
      <c r="K3" s="12" t="n"/>
    </row>
    <row r="4">
      <c r="A4" s="10" t="inlineStr">
        <is>
          <t>docel.</t>
        </is>
      </c>
      <c r="B4" s="10" t="inlineStr">
        <is>
          <t>—</t>
        </is>
      </c>
      <c r="C4" s="10" t="inlineStr">
        <is>
          <t>K-R1R2</t>
        </is>
      </c>
      <c r="D4" s="10" t="inlineStr">
        <is>
          <t>Kabel R1→R2</t>
        </is>
      </c>
      <c r="E4" s="10" t="inlineStr">
        <is>
          <t>YKY 3×4 ~15 m</t>
        </is>
      </c>
      <c r="F4" s="10" t="n">
        <v>15</v>
      </c>
      <c r="G4" s="10" t="inlineStr">
        <is>
          <t>m</t>
        </is>
      </c>
      <c r="H4" s="10" t="n"/>
      <c r="I4" s="11">
        <f>IF(OR(F4="",H4=""),"",F4*H4)</f>
        <v/>
      </c>
      <c r="J4" s="10" t="inlineStr"/>
      <c r="K4" s="12" t="n"/>
    </row>
    <row r="5">
      <c r="A5" s="10" t="inlineStr">
        <is>
          <t>docel.</t>
        </is>
      </c>
      <c r="B5" s="10" t="inlineStr">
        <is>
          <t>R2</t>
        </is>
      </c>
      <c r="C5" s="10" t="inlineStr">
        <is>
          <t>F-P2/G2</t>
        </is>
      </c>
      <c r="D5" s="10" t="inlineStr">
        <is>
          <t>RCBO + smart pompa/gniazdo R2</t>
        </is>
      </c>
      <c r="E5" s="10" t="inlineStr">
        <is>
          <t>jak w designie R1/R2</t>
        </is>
      </c>
      <c r="F5" s="10" t="n">
        <v>2</v>
      </c>
      <c r="G5" s="10" t="inlineStr">
        <is>
          <t>kpl.</t>
        </is>
      </c>
      <c r="H5" s="10" t="n"/>
      <c r="I5" s="11">
        <f>IF(OR(F5="",H5=""),"",F5*H5)</f>
        <v/>
      </c>
      <c r="J5" s="10" t="inlineStr"/>
      <c r="K5" s="12" t="n"/>
    </row>
    <row r="7">
      <c r="A7" s="5" t="inlineStr">
        <is>
          <t>Uwagi</t>
        </is>
      </c>
    </row>
    <row r="8" ht="70" customHeight="1">
      <c r="A8" s="6" t="inlineStr">
        <is>
          <t>Odkładamy na później — najpierw Minimum — 1 skrzynka.</t>
        </is>
      </c>
    </row>
  </sheetData>
  <autoFilter ref="A1:K1"/>
  <mergeCells count="1">
    <mergeCell ref="A8:K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8" customWidth="1" min="4" max="4"/>
    <col width="28" customWidth="1" min="5" max="5"/>
  </cols>
  <sheetData>
    <row r="1">
      <c r="A1" s="13" t="inlineStr">
        <is>
          <t>ID</t>
        </is>
      </c>
      <c r="B1" s="13" t="inlineStr">
        <is>
          <t>Kiedy</t>
        </is>
      </c>
      <c r="C1" s="13" t="inlineStr">
        <is>
          <t>Aparat</t>
        </is>
      </c>
      <c r="D1" s="13" t="inlineStr">
        <is>
          <t>HA</t>
        </is>
      </c>
      <c r="E1" s="13" t="inlineStr">
        <is>
          <t>Obciążenie</t>
        </is>
      </c>
    </row>
    <row r="2">
      <c r="A2" s="14" t="inlineStr">
        <is>
          <t>Q0</t>
        </is>
      </c>
      <c r="B2" s="14" t="inlineStr">
        <is>
          <t>minimum</t>
        </is>
      </c>
      <c r="C2" s="14" t="inlineStr">
        <is>
          <t>Rozłącznik 2P</t>
        </is>
      </c>
      <c r="D2" s="14" t="inlineStr">
        <is>
          <t>nie</t>
        </is>
      </c>
      <c r="E2" s="14" t="inlineStr">
        <is>
          <t>cała skrzynka</t>
        </is>
      </c>
    </row>
    <row r="3">
      <c r="A3" s="14" t="inlineStr">
        <is>
          <t>F-CZ</t>
        </is>
      </c>
      <c r="B3" s="14" t="inlineStr">
        <is>
          <t>minimum</t>
        </is>
      </c>
      <c r="C3" s="14" t="inlineStr">
        <is>
          <t>RCBO 1P+N</t>
        </is>
      </c>
      <c r="D3" s="14" t="inlineStr">
        <is>
          <t>nie</t>
        </is>
      </c>
      <c r="E3" s="14" t="inlineStr">
        <is>
          <t>czujnik szamba</t>
        </is>
      </c>
    </row>
    <row r="4">
      <c r="A4" s="14" t="inlineStr">
        <is>
          <t>F-P1→S-P1</t>
        </is>
      </c>
      <c r="B4" s="14" t="inlineStr">
        <is>
          <t>później</t>
        </is>
      </c>
      <c r="C4" s="14" t="inlineStr">
        <is>
          <t>RCBO + smart</t>
        </is>
      </c>
      <c r="D4" s="14" t="inlineStr">
        <is>
          <t>tak</t>
        </is>
      </c>
      <c r="E4" s="14" t="inlineStr">
        <is>
          <t>pompa</t>
        </is>
      </c>
    </row>
    <row r="5">
      <c r="A5" s="14" t="inlineStr">
        <is>
          <t>F-G1→S-G1</t>
        </is>
      </c>
      <c r="B5" s="14" t="inlineStr">
        <is>
          <t>później</t>
        </is>
      </c>
      <c r="C5" s="14" t="inlineStr">
        <is>
          <t>RCBO + smart</t>
        </is>
      </c>
      <c r="D5" s="14" t="inlineStr">
        <is>
          <t>tak</t>
        </is>
      </c>
      <c r="E5" s="14" t="inlineStr">
        <is>
          <t>gniazdo</t>
        </is>
      </c>
    </row>
    <row r="6">
      <c r="A6" s="14" t="inlineStr">
        <is>
          <t>R2…</t>
        </is>
      </c>
      <c r="B6" s="14" t="inlineStr">
        <is>
          <t>docelowo</t>
        </is>
      </c>
      <c r="C6" s="14" t="inlineStr">
        <is>
          <t>druga skrzynka</t>
        </is>
      </c>
      <c r="D6" s="14" t="inlineStr">
        <is>
          <t>—</t>
        </is>
      </c>
      <c r="E6" s="14" t="inlineStr">
        <is>
          <t>opcjonalna podstacja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2026-10-15T17:47:12Z</dcterms:created>
  <dcterms:modified xsi:type="dcterms:W3CDTF">2026-10-15T17:47:12Z</dcterms:modified>
</cp:coreProperties>
</file>